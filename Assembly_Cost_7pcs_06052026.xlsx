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 pcs – 06.05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164" fontId="7" fillId="7" borderId="1" applyAlignment="1" pivotButton="0" quotePrefix="0" xfId="0">
      <alignment horizontal="right" vertical="center" wrapText="1"/>
    </xf>
    <xf numFmtId="164" fontId="7" fillId="5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right" vertical="center" wrapText="1"/>
    </xf>
    <xf numFmtId="10" fontId="6" fillId="5" borderId="1" applyAlignment="1" pivotButton="0" quotePrefix="0" xfId="0">
      <alignment horizontal="right" vertical="center" wrapText="1"/>
    </xf>
    <xf numFmtId="0" fontId="2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 ht="24" customHeight="1">
      <c r="A1" s="1" t="inlineStr">
        <is>
          <t>PCB ASSEMBLY COST SHEET  |  Qty: 7  |  Date: 06.05.2026</t>
        </is>
      </c>
    </row>
    <row r="2" ht="18" customHeight="1">
      <c r="A2" s="2" t="inlineStr">
        <is>
          <t>Legend:</t>
        </is>
      </c>
      <c r="C2" s="3" t="inlineStr">
        <is>
          <t>Standard</t>
        </is>
      </c>
      <c r="D2" s="4" t="inlineStr">
        <is>
          <t>Customer</t>
        </is>
      </c>
      <c r="G2" s="3" t="inlineStr">
        <is>
          <t>Subtotal Standard</t>
        </is>
      </c>
      <c r="H2" s="4" t="inlineStr">
        <is>
          <t>Subtotal Customer</t>
        </is>
      </c>
    </row>
    <row r="3" ht="18" customHeight="1">
      <c r="A3" s="5" t="inlineStr">
        <is>
          <t>PCB:</t>
        </is>
      </c>
      <c r="G3" s="6" t="n">
        <v>7</v>
      </c>
      <c r="H3" s="6" t="n">
        <v>7</v>
      </c>
    </row>
    <row r="5" ht="20" customHeight="1">
      <c r="A5" s="7" t="inlineStr">
        <is>
          <t>SECTION 1 – Labour Assembly (LOHN)</t>
        </is>
      </c>
    </row>
    <row r="6">
      <c r="A6" s="3" t="inlineStr">
        <is>
          <t>Description</t>
        </is>
      </c>
      <c r="B6" s="3" t="inlineStr">
        <is>
          <t>Unit</t>
        </is>
      </c>
      <c r="C6" s="3" t="inlineStr">
        <is>
          <t>Standard</t>
        </is>
      </c>
      <c r="D6" s="3" t="inlineStr">
        <is>
          <t>Customer</t>
        </is>
      </c>
      <c r="E6" s="3" t="inlineStr">
        <is>
          <t>Qty / Count</t>
        </is>
      </c>
      <c r="F6" s="3" t="inlineStr">
        <is>
          <t>Minutes</t>
        </is>
      </c>
      <c r="G6" s="3" t="inlineStr">
        <is>
          <t>Subtotal Std €</t>
        </is>
      </c>
      <c r="H6" s="3" t="inlineStr">
        <is>
          <t>Subtotal Cust €</t>
        </is>
      </c>
    </row>
    <row r="7" ht="32" customHeight="1">
      <c r="A7" s="8" t="inlineStr">
        <is>
          <t>SMD Components – Time per assembly</t>
        </is>
      </c>
      <c r="B7" s="9" t="inlineStr">
        <is>
          <t>Ct</t>
        </is>
      </c>
      <c r="C7" s="10" t="n">
        <v>7</v>
      </c>
      <c r="D7" s="10" t="n">
        <v>7</v>
      </c>
      <c r="E7" s="11" t="n">
        <v>7</v>
      </c>
      <c r="G7" s="12">
        <f>C7*E7/100</f>
        <v/>
      </c>
      <c r="H7" s="13">
        <f>D7*E7/100</f>
        <v/>
      </c>
    </row>
    <row r="8" ht="28" customHeight="1">
      <c r="A8" s="8" t="inlineStr">
        <is>
          <t>Soldering 1-sided / 2-sided  (enter 1 or 2)</t>
        </is>
      </c>
      <c r="B8" s="9" t="inlineStr">
        <is>
          <t>Ct</t>
        </is>
      </c>
      <c r="C8" s="11" t="n">
        <v>7</v>
      </c>
      <c r="D8" s="11" t="n">
        <v>7</v>
      </c>
      <c r="E8" s="11" t="n">
        <v>7</v>
      </c>
      <c r="G8" s="12">
        <f>IF(E8=2,C8/E13/100,0)</f>
        <v/>
      </c>
      <c r="H8" s="12">
        <f>IF(E8=2,D8/E13/100,0)</f>
        <v/>
      </c>
    </row>
    <row r="9" ht="24" customHeight="1">
      <c r="A9" s="8" t="inlineStr">
        <is>
          <t>FIX Printer per side (standard €30)</t>
        </is>
      </c>
      <c r="C9" s="14" t="n">
        <v>7</v>
      </c>
      <c r="D9" s="14" t="n">
        <v>7</v>
      </c>
    </row>
    <row r="10" ht="24" customHeight="1">
      <c r="A10" s="8" t="inlineStr">
        <is>
          <t>FIX Machine per side (standard €30)</t>
        </is>
      </c>
      <c r="C10" s="14" t="n">
        <v>7</v>
      </c>
      <c r="D10" s="14" t="n">
        <v>7</v>
      </c>
    </row>
    <row r="11" ht="36" customHeight="1">
      <c r="A11" s="8" t="inlineStr">
        <is>
          <t>SMD Feeders – Setup cost (all components, Teaching, Stock)</t>
        </is>
      </c>
      <c r="B11" s="9" t="inlineStr">
        <is>
          <t>€</t>
        </is>
      </c>
      <c r="C11" s="14" t="n">
        <v>7</v>
      </c>
      <c r="D11" s="14" t="n">
        <v>7</v>
      </c>
      <c r="E11" s="11" t="n">
        <v>33</v>
      </c>
      <c r="G11" s="12">
        <f>(((C9*E8)+(C10*E8)+(C11*E11))/G3)</f>
        <v/>
      </c>
      <c r="H11" s="12">
        <f>(((D9*E8)+(D10*E8)+(D11*E11))/H3)</f>
        <v/>
      </c>
    </row>
    <row r="12" ht="24" customHeight="1">
      <c r="A12" s="8" t="inlineStr">
        <is>
          <t>THT Component count</t>
        </is>
      </c>
      <c r="E12" s="11" t="n">
        <v>7</v>
      </c>
    </row>
    <row r="13" ht="24" customHeight="1">
      <c r="A13" s="8" t="inlineStr">
        <is>
          <t>Circuits per panel (Einzelschaltungen pro Nutzen)</t>
        </is>
      </c>
      <c r="E13" s="11" t="n">
        <v>7</v>
      </c>
    </row>
    <row r="14" ht="24" customHeight="1">
      <c r="A14" s="8" t="inlineStr">
        <is>
          <t>FIX Selective or Wave solder (standard €30)</t>
        </is>
      </c>
      <c r="B14" s="9" t="inlineStr">
        <is>
          <t>€</t>
        </is>
      </c>
      <c r="C14" s="14" t="n">
        <v>7</v>
      </c>
      <c r="D14" s="14" t="n">
        <v>7</v>
      </c>
    </row>
    <row r="15" ht="32" customHeight="1">
      <c r="A15" s="8" t="inlineStr">
        <is>
          <t>THT Components – Time (standard 35 Ct)</t>
        </is>
      </c>
      <c r="B15" s="9" t="inlineStr">
        <is>
          <t>Ct</t>
        </is>
      </c>
      <c r="C15" s="10" t="n">
        <v>7</v>
      </c>
      <c r="D15" s="10" t="n">
        <v>7</v>
      </c>
      <c r="E15" s="11" t="n">
        <v>7</v>
      </c>
      <c r="G15" s="12">
        <f>(((C14*E8)/G3)+((C15*E15)/100))</f>
        <v/>
      </c>
      <c r="H15" s="13">
        <f>(((D14*E8)/H3)+((D15*E15)/100))</f>
        <v/>
      </c>
    </row>
    <row r="16" ht="28" customHeight="1">
      <c r="A16" s="8" t="inlineStr">
        <is>
          <t>Manual solder joints (0.08 min → 5 sec each)</t>
        </is>
      </c>
      <c r="C16" s="11" t="n">
        <v>0</v>
      </c>
      <c r="D16" s="11" t="n">
        <v>7</v>
      </c>
      <c r="E16" s="11" t="n">
        <v>7</v>
      </c>
      <c r="G16" s="12">
        <f>C16*C18*E16/60</f>
        <v/>
      </c>
      <c r="H16" s="12">
        <f>D16*D18*E16/60</f>
        <v/>
      </c>
    </row>
    <row r="17" ht="24" customHeight="1">
      <c r="A17" s="8" t="inlineStr">
        <is>
          <t>Quality Control (QS) time [min]</t>
        </is>
      </c>
      <c r="F17" s="11" t="n">
        <v>7</v>
      </c>
      <c r="G17" s="12">
        <f>F17*C18/60</f>
        <v/>
      </c>
      <c r="H17" s="12">
        <f>F17*D18/60</f>
        <v/>
      </c>
    </row>
    <row r="18" ht="24" customHeight="1">
      <c r="A18" s="8" t="inlineStr">
        <is>
          <t>Hourly Rate (Faktor Stundensatz)</t>
        </is>
      </c>
      <c r="B18" s="9" t="inlineStr">
        <is>
          <t>€</t>
        </is>
      </c>
      <c r="C18" s="14" t="n">
        <v>7</v>
      </c>
      <c r="D18" s="14" t="n">
        <v>7</v>
      </c>
    </row>
    <row r="19" ht="24" customHeight="1">
      <c r="A19" s="15" t="inlineStr">
        <is>
          <t>TOTAL LABOUR (without markup)</t>
        </is>
      </c>
      <c r="G19" s="16">
        <f>SUM(G7:G18)</f>
        <v/>
      </c>
      <c r="H19" s="16">
        <f>SUM(H7:H18)</f>
        <v/>
      </c>
    </row>
    <row r="21">
      <c r="A21" s="7" t="inlineStr">
        <is>
          <t>SECTION 2 – Material</t>
        </is>
      </c>
    </row>
    <row r="22" ht="24" customHeight="1">
      <c r="A22" s="8" t="inlineStr">
        <is>
          <t>Material cost per unit</t>
        </is>
      </c>
      <c r="B22" s="9" t="inlineStr">
        <is>
          <t>€</t>
        </is>
      </c>
      <c r="C22" s="14" t="n">
        <v>7</v>
      </c>
      <c r="D22" s="14" t="n">
        <v>7</v>
      </c>
      <c r="G22" s="12">
        <f>(C22*C23/100)+C22</f>
        <v/>
      </c>
      <c r="H22" s="12">
        <f>(D22*D23/100)+D22</f>
        <v/>
      </c>
    </row>
    <row r="23" ht="24" customHeight="1">
      <c r="A23" s="8" t="inlineStr">
        <is>
          <t>Material markup %</t>
        </is>
      </c>
      <c r="C23" s="10" t="n">
        <v>7</v>
      </c>
      <c r="D23" s="10" t="n">
        <v>7</v>
      </c>
    </row>
    <row r="24" ht="24" customHeight="1">
      <c r="A24" s="8" t="inlineStr">
        <is>
          <t>Total material markup (on full order)</t>
        </is>
      </c>
      <c r="B24" s="9" t="inlineStr">
        <is>
          <t>€</t>
        </is>
      </c>
      <c r="C24" s="12">
        <f>C22*C23/100*G3</f>
        <v/>
      </c>
      <c r="D24" s="12">
        <f>D22*D23/100*H3</f>
        <v/>
      </c>
    </row>
    <row r="26">
      <c r="A26" s="7" t="inlineStr">
        <is>
          <t>SECTION 3 – Pricing</t>
        </is>
      </c>
    </row>
    <row r="27" ht="22" customHeight="1">
      <c r="A27" s="8" t="inlineStr">
        <is>
          <t>Assembly price incl. Material (per unit)</t>
        </is>
      </c>
      <c r="C27" s="12">
        <f>G22+G19</f>
        <v/>
      </c>
      <c r="D27" s="12">
        <f>H22+H19</f>
        <v/>
      </c>
    </row>
    <row r="28" ht="22" customHeight="1">
      <c r="A28" s="8" t="inlineStr">
        <is>
          <t>Price + Skonto (early payment discount)</t>
        </is>
      </c>
      <c r="B28" s="17" t="n">
        <v>7</v>
      </c>
      <c r="C28" s="12">
        <f>C27*B28+C27</f>
        <v/>
      </c>
      <c r="D28" s="12">
        <f>D27*B28+D27</f>
        <v/>
      </c>
    </row>
    <row r="29" ht="22" customHeight="1">
      <c r="A29" s="15" t="inlineStr">
        <is>
          <t>Unit price incl. profit margin</t>
        </is>
      </c>
      <c r="B29" s="17" t="n">
        <v>7</v>
      </c>
      <c r="G29" s="16">
        <f>C28*B29+C28</f>
        <v/>
      </c>
      <c r="H29" s="16">
        <f>D28*B29+D28</f>
        <v/>
      </c>
    </row>
    <row r="30" ht="22" customHeight="1">
      <c r="A30" s="8" t="inlineStr">
        <is>
          <t>Panel price incl. skonto &amp; profit margin</t>
        </is>
      </c>
      <c r="C30" s="12">
        <f>G29*E13</f>
        <v/>
      </c>
      <c r="D30" s="12">
        <f>H29*E13</f>
        <v/>
      </c>
    </row>
    <row r="31" ht="22" customHeight="1">
      <c r="A31" s="15" t="inlineStr">
        <is>
          <t>Total order value LABOUR + Material</t>
        </is>
      </c>
      <c r="G31" s="16">
        <f>G29*G3</f>
        <v/>
      </c>
      <c r="H31" s="16">
        <f>H3*H29</f>
        <v/>
      </c>
    </row>
    <row r="32" ht="20" customHeight="1">
      <c r="A32" s="8" t="inlineStr">
        <is>
          <t>Order value LOHN only (excl. material)</t>
        </is>
      </c>
      <c r="G32" s="12">
        <f>G31-(C22*G3)</f>
        <v/>
      </c>
      <c r="H32" s="12">
        <f>H31-(D22*H3)</f>
        <v/>
      </c>
    </row>
    <row r="34">
      <c r="A34" s="7" t="inlineStr">
        <is>
          <t>SECTION 4 – Initial / Setup Costs</t>
        </is>
      </c>
    </row>
    <row r="35">
      <c r="A35" s="3" t="inlineStr">
        <is>
          <t>Description</t>
        </is>
      </c>
      <c r="B35" s="3" t="inlineStr">
        <is>
          <t>Unit</t>
        </is>
      </c>
      <c r="C35" s="3" t="inlineStr">
        <is>
          <t>Standard</t>
        </is>
      </c>
      <c r="D35" s="3" t="inlineStr">
        <is>
          <t>Customer</t>
        </is>
      </c>
      <c r="E35" s="3" t="inlineStr">
        <is>
          <t>Factor</t>
        </is>
      </c>
      <c r="F35" s="3" t="inlineStr"/>
      <c r="G35" s="3" t="inlineStr"/>
      <c r="H35" s="3" t="inlineStr">
        <is>
          <t>Customer Total</t>
        </is>
      </c>
    </row>
    <row r="36" ht="28" customHeight="1">
      <c r="A36" s="8" t="inlineStr">
        <is>
          <t>SMD Assembly Setup per side (Valor, Programme, EFA, 3D-AOI)</t>
        </is>
      </c>
      <c r="B36" s="9" t="inlineStr">
        <is>
          <t>€</t>
        </is>
      </c>
      <c r="C36" s="14" t="n">
        <v>7</v>
      </c>
      <c r="D36" s="14" t="n">
        <v>7</v>
      </c>
      <c r="H36" s="12">
        <f>D36*E8</f>
        <v/>
      </c>
    </row>
    <row r="37" ht="28" customHeight="1">
      <c r="A37" s="8" t="inlineStr">
        <is>
          <t>Setup Printer programme</t>
        </is>
      </c>
      <c r="B37" s="9" t="inlineStr">
        <is>
          <t>€</t>
        </is>
      </c>
      <c r="C37" s="14" t="n">
        <v>7</v>
      </c>
      <c r="D37" s="14" t="n">
        <v>7</v>
      </c>
      <c r="H37" s="12">
        <f>D37*E8</f>
        <v/>
      </c>
    </row>
    <row r="38" ht="28" customHeight="1">
      <c r="A38" s="8" t="inlineStr">
        <is>
          <t>Setup SMD per part (VPL, SiplacePro, Feeder, 3D-AOI)</t>
        </is>
      </c>
      <c r="B38" s="9" t="inlineStr">
        <is>
          <t>€</t>
        </is>
      </c>
      <c r="C38" s="14" t="n">
        <v>7</v>
      </c>
      <c r="D38" s="14" t="n">
        <v>7</v>
      </c>
      <c r="H38" s="12">
        <f>D38*E11</f>
        <v/>
      </c>
    </row>
    <row r="39" ht="28" customHeight="1">
      <c r="A39" s="8" t="inlineStr">
        <is>
          <t>Setup THT per part (Selective programme)</t>
        </is>
      </c>
      <c r="B39" s="9" t="inlineStr">
        <is>
          <t>€</t>
        </is>
      </c>
      <c r="C39" s="14" t="n">
        <v>7</v>
      </c>
      <c r="D39" s="14" t="n">
        <v>7</v>
      </c>
      <c r="H39" s="12">
        <f>D39*E15</f>
        <v/>
      </c>
    </row>
    <row r="40" ht="28" customHeight="1">
      <c r="A40" s="8" t="inlineStr">
        <is>
          <t>Setup LP Supplier</t>
        </is>
      </c>
      <c r="B40" s="9" t="inlineStr">
        <is>
          <t>€</t>
        </is>
      </c>
      <c r="C40" s="14" t="n">
        <v>0</v>
      </c>
      <c r="D40" s="14" t="n">
        <v>7</v>
      </c>
      <c r="H40" s="12">
        <f>D40</f>
        <v/>
      </c>
    </row>
    <row r="41" ht="28" customHeight="1">
      <c r="A41" s="8" t="inlineStr">
        <is>
          <t>Stencil Top</t>
        </is>
      </c>
      <c r="B41" s="9" t="inlineStr">
        <is>
          <t>€</t>
        </is>
      </c>
      <c r="C41" s="14" t="n">
        <v>150</v>
      </c>
      <c r="D41" s="14" t="n">
        <v>7</v>
      </c>
      <c r="E41" s="10" t="n">
        <v>7</v>
      </c>
      <c r="H41" s="12">
        <f>D41+(D41*E41)</f>
        <v/>
      </c>
    </row>
    <row r="42" ht="28" customHeight="1">
      <c r="A42" s="8" t="inlineStr">
        <is>
          <t>Stencil Bottom</t>
        </is>
      </c>
      <c r="B42" s="9" t="inlineStr">
        <is>
          <t>€</t>
        </is>
      </c>
      <c r="C42" s="14" t="n">
        <v>7</v>
      </c>
      <c r="D42" s="14" t="n">
        <v>7</v>
      </c>
      <c r="E42" s="10" t="n">
        <v>7</v>
      </c>
      <c r="H42" s="12">
        <f>D42+(D42*E42)</f>
        <v/>
      </c>
    </row>
    <row r="43" ht="28" customHeight="1">
      <c r="A43" s="8" t="inlineStr">
        <is>
          <t>Order processing (work order, order confirmation, invoice label)</t>
        </is>
      </c>
      <c r="B43" s="9" t="inlineStr">
        <is>
          <t>€</t>
        </is>
      </c>
      <c r="C43" s="14" t="n">
        <v>7</v>
      </c>
      <c r="D43" s="14" t="n">
        <v>7</v>
      </c>
      <c r="H43" s="12">
        <f>D43</f>
        <v/>
      </c>
    </row>
    <row r="44" ht="24" customHeight="1">
      <c r="A44" s="15" t="inlineStr">
        <is>
          <t>TOTAL Initial Costs</t>
        </is>
      </c>
      <c r="H44" s="16">
        <f>SUM(H36:H43)</f>
        <v/>
      </c>
    </row>
    <row r="46">
      <c r="A46" s="7" t="inlineStr">
        <is>
          <t>SECTION 5 – Project Summary</t>
        </is>
      </c>
    </row>
    <row r="47" ht="24" customHeight="1">
      <c r="A47" s="15" t="inlineStr">
        <is>
          <t>Project price serial production incl. setup costs</t>
        </is>
      </c>
      <c r="H47" s="16">
        <f>H44+H31</f>
        <v/>
      </c>
    </row>
    <row r="48" ht="24" customHeight="1">
      <c r="A48" s="8" t="inlineStr">
        <is>
          <t>Project price incl. setup + prototype</t>
        </is>
      </c>
      <c r="H48" s="12">
        <f>H44+H31+G31</f>
        <v/>
      </c>
    </row>
    <row r="49" ht="24" customHeight="1">
      <c r="A49" s="8" t="inlineStr">
        <is>
          <t>Project price incl. setup for quantity (customer)</t>
        </is>
      </c>
      <c r="H49" s="12">
        <f>H31+H44</f>
        <v/>
      </c>
    </row>
    <row r="50" ht="24" customHeight="1">
      <c r="A50" s="8" t="inlineStr">
        <is>
          <t>Project price serial production incl. setup (customer)</t>
        </is>
      </c>
      <c r="H50" s="12">
        <f>H31+H44</f>
        <v/>
      </c>
    </row>
    <row r="52" ht="24" customHeight="1">
      <c r="A52" s="8" t="inlineStr">
        <is>
          <t>STD Lead Time &amp; Cost per Hour/Day</t>
        </is>
      </c>
      <c r="B52" s="11" t="n">
        <v>7</v>
      </c>
      <c r="C52" s="9" t="inlineStr">
        <is>
          <t>€</t>
        </is>
      </c>
      <c r="D52" s="9" t="inlineStr">
        <is>
          <t>€</t>
        </is>
      </c>
      <c r="G52" s="12">
        <f>G31/B52/8</f>
        <v/>
      </c>
      <c r="H52" s="12">
        <f>H31/B52/8</f>
        <v/>
      </c>
    </row>
    <row r="54">
      <c r="A54" s="18" t="inlineStr">
        <is>
          <t>Created by: 7</t>
        </is>
      </c>
    </row>
    <row r="55">
      <c r="A55" s="19" t="inlineStr">
        <is>
          <t>Date: 06.05.2026</t>
        </is>
      </c>
    </row>
  </sheetData>
  <mergeCells count="6">
    <mergeCell ref="A1:H1"/>
    <mergeCell ref="A26:H26"/>
    <mergeCell ref="A21:H21"/>
    <mergeCell ref="A5:H5"/>
    <mergeCell ref="A46:H4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2026-05-06T13:41:32Z</dcterms:created>
  <dcterms:modified xsi:type="dcterms:W3CDTF">2026-05-06T13:41:32Z</dcterms:modified>
</cp:coreProperties>
</file>